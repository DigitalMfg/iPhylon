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<sst xmlns="http://schemas.openxmlformats.org/spreadsheetml/2006/main" count="137" uniqueCount="62">
  <si>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</si>
  <si>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</si>
  <si>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</si>
  <si>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</si>
  <si>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</si>
  <si>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</si>
  <si>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</si>
  <si>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</si>
  <si>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</si>
  <si>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</si>
  <si>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</si>
  <si>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</si>
  <si>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</si>
  <si>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</si>
  <si>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</si>
  <si>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</si>
  <si>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</si>
  <si>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</si>
  <si>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</si>
  <si>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</si>
  <si>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</si>
  <si>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</si>
  <si>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</si>
  <si>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</si>
  <si>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</si>
  <si>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</si>
  <si>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</si>
  <si>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</si>
  <si>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</si>
  <si>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</si>
  <si>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</si>
  <si>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</si>
  <si>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</si>
  <si>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</si>
  <si>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</si>
  <si>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</si>
  <si>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</si>
  <si>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</si>
  <si>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</si>
  <si>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</si>
  <si>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</si>
  <si>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</si>
  <si>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</si>
  <si>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01</t>
  </si>
  <si>
    <t>02</t>
  </si>
  <si>
    <t>FD6575-106</t>
  </si>
  <si>
    <t>WMN</t>
  </si>
  <si>
    <t>China</t>
  </si>
  <si>
    <t>Brazil</t>
  </si>
  <si>
    <t>Mauritius</t>
  </si>
  <si>
    <t>FD6574-100</t>
  </si>
  <si>
    <t>Thailand</t>
  </si>
  <si>
    <t>Indonesia</t>
  </si>
  <si>
    <t>Germany</t>
  </si>
  <si>
    <t>FD6574-112</t>
  </si>
  <si>
    <t>South Korea</t>
  </si>
  <si>
    <t>Philippines</t>
  </si>
  <si>
    <t>Malaysia</t>
  </si>
  <si>
    <t>Singapore</t>
  </si>
  <si>
    <t>FD6575-113</t>
  </si>
  <si>
    <t>FD6575-114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</si>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</sst>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00"/>
        <bgColor rgb="FFDBE5F1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6" xfId="0" applyFont="1" applyBorder="1" applyAlignment="1"/>
    <xf numFmtId="0" fontId="26" fillId="0" borderId="24" xfId="0" applyFont="1" applyBorder="1" applyAlignment="1"/>
    <xf numFmtId="0" fontId="18" fillId="5" borderId="26" xfId="0" applyFont="1" applyFill="1" applyBorder="1" applyAlignment="1">
      <alignment horizontal="center"/>
    </xf>
    <xf numFmtId="165" fontId="18" fillId="5" borderId="26" xfId="0" applyNumberFormat="1" applyFont="1" applyFill="1" applyBorder="1" applyAlignment="1">
      <alignment horizontal="center"/>
    </xf>
    <xf numFmtId="164" fontId="18" fillId="0" borderId="26" xfId="0" applyNumberFormat="1" applyFont="1" applyBorder="1" applyAlignment="1">
      <alignment horizontal="center"/>
    </xf>
    <xf numFmtId="1" fontId="24" fillId="0" borderId="26" xfId="0" applyNumberFormat="1" applyFont="1" applyBorder="1" applyAlignment="1">
      <alignment horizontal="center"/>
    </xf>
    <xf numFmtId="165" fontId="24" fillId="0" borderId="26" xfId="0" applyNumberFormat="1" applyFont="1" applyBorder="1" applyAlignment="1">
      <alignment horizontal="center"/>
    </xf>
    <xf numFmtId="164" fontId="27" fillId="0" borderId="26" xfId="0" applyNumberFormat="1" applyFont="1" applyBorder="1" applyAlignment="1">
      <alignment horizontal="center"/>
    </xf>
    <xf numFmtId="164" fontId="24" fillId="0" borderId="26" xfId="0" applyNumberFormat="1" applyFont="1" applyBorder="1" applyAlignment="1">
      <alignment horizontal="center"/>
    </xf>
    <xf numFmtId="164" fontId="21" fillId="0" borderId="26" xfId="0" applyNumberFormat="1" applyFont="1" applyBorder="1" applyAlignment="1">
      <alignment horizontal="center"/>
    </xf>
    <xf numFmtId="164" fontId="28" fillId="0" borderId="26" xfId="0" applyNumberFormat="1" applyFont="1" applyBorder="1" applyAlignment="1">
      <alignment horizontal="center"/>
    </xf>
    <xf numFmtId="164" fontId="24" fillId="3" borderId="26" xfId="0" applyNumberFormat="1" applyFont="1" applyFill="1" applyBorder="1" applyAlignment="1">
      <alignment horizontal="center"/>
    </xf>
    <xf numFmtId="164" fontId="18" fillId="3" borderId="26" xfId="0" applyNumberFormat="1" applyFont="1" applyFill="1" applyBorder="1" applyAlignment="1">
      <alignment horizontal="center"/>
    </xf>
    <xf numFmtId="164" fontId="21" fillId="2" borderId="26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8" fillId="5" borderId="27" xfId="0" applyFont="1" applyFill="1" applyBorder="1" applyAlignment="1">
      <alignment horizontal="center"/>
    </xf>
    <xf numFmtId="1" fontId="18" fillId="5" borderId="22" xfId="0" applyNumberFormat="1" applyFont="1" applyFill="1" applyBorder="1" applyAlignment="1">
      <alignment horizontal="center"/>
    </xf>
    <xf numFmtId="164" fontId="18" fillId="5" borderId="22" xfId="0" applyNumberFormat="1" applyFont="1" applyFill="1" applyBorder="1" applyAlignment="1">
      <alignment horizontal="center"/>
    </xf>
    <xf numFmtId="164" fontId="18" fillId="5" borderId="28" xfId="0" applyNumberFormat="1" applyFont="1" applyFill="1" applyBorder="1" applyAlignment="1">
      <alignment horizontal="center"/>
    </xf>
    <xf numFmtId="164" fontId="18" fillId="5" borderId="29" xfId="0" applyNumberFormat="1" applyFont="1" applyFill="1" applyBorder="1" applyAlignment="1">
      <alignment horizontal="center"/>
    </xf>
    <xf numFmtId="0" fontId="24" fillId="5" borderId="22" xfId="0" applyFont="1" applyFill="1" applyBorder="1" applyAlignment="1">
      <alignment horizontal="center"/>
    </xf>
    <xf numFmtId="164" fontId="18" fillId="6" borderId="29" xfId="0" applyNumberFormat="1" applyFont="1" applyFill="1" applyBorder="1" applyAlignment="1">
      <alignment horizontal="center"/>
    </xf>
    <xf numFmtId="164" fontId="18" fillId="0" borderId="27" xfId="0" applyNumberFormat="1" applyFont="1" applyBorder="1" applyAlignment="1">
      <alignment horizontal="center"/>
    </xf>
    <xf numFmtId="1" fontId="24" fillId="0" borderId="22" xfId="0" applyNumberFormat="1" applyFont="1" applyBorder="1" applyAlignment="1">
      <alignment horizontal="center"/>
    </xf>
    <xf numFmtId="165" fontId="24" fillId="0" borderId="22" xfId="0" applyNumberFormat="1" applyFont="1" applyBorder="1" applyAlignment="1">
      <alignment horizontal="center"/>
    </xf>
    <xf numFmtId="164" fontId="18" fillId="0" borderId="22" xfId="0" applyNumberFormat="1" applyFont="1" applyBorder="1" applyAlignment="1">
      <alignment horizontal="center"/>
    </xf>
    <xf numFmtId="164" fontId="24" fillId="0" borderId="22" xfId="0" applyNumberFormat="1" applyFont="1" applyBorder="1" applyAlignment="1">
      <alignment horizontal="center"/>
    </xf>
    <xf numFmtId="164" fontId="5" fillId="0" borderId="22" xfId="0" applyNumberFormat="1" applyFont="1" applyBorder="1" applyAlignment="1">
      <alignment horizontal="center"/>
    </xf>
    <xf numFmtId="164" fontId="24" fillId="3" borderId="22" xfId="0" applyNumberFormat="1" applyFont="1" applyFill="1" applyBorder="1" applyAlignment="1">
      <alignment horizontal="center"/>
    </xf>
    <xf numFmtId="164" fontId="18" fillId="3" borderId="2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40" zoomScaleNormal="40" zoomScaleSheetLayoutView="33" workbookViewId="0">
      <selection activeCell="U35" sqref="U35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72"/>
      <c r="B1" s="73"/>
      <c r="C1" s="78" t="s">
        <v>0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80"/>
    </row>
    <row r="2" spans="1:47" ht="57" customHeight="1">
      <c r="A2" s="74"/>
      <c r="B2" s="75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76"/>
      <c r="B3" s="77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81" t="s">
        <v>8</v>
      </c>
      <c r="I6" s="82"/>
      <c r="J6" s="82"/>
      <c r="K6" s="82"/>
      <c r="L6" s="82"/>
      <c r="M6" s="82"/>
      <c r="N6" s="83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56" t="s">
        <v>40</v>
      </c>
      <c r="C7" s="23"/>
      <c r="D7" s="23"/>
      <c r="E7" s="23"/>
      <c r="F7" s="16"/>
      <c r="G7" s="24"/>
      <c r="H7" s="84"/>
      <c r="I7" s="85"/>
      <c r="J7" s="85"/>
      <c r="K7" s="85"/>
      <c r="L7" s="85"/>
      <c r="M7" s="85"/>
      <c r="N7" s="86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5" t="s">
        <v>43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5" t="s">
        <v>44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5" t="s">
        <v>43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57">
        <v>46181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4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87" t="s">
        <v>45</v>
      </c>
      <c r="B13" s="50" t="s">
        <v>36</v>
      </c>
      <c r="C13" s="50" t="s">
        <v>46</v>
      </c>
      <c r="D13" s="51">
        <v>46139</v>
      </c>
      <c r="E13" s="88">
        <v>6204469250</v>
      </c>
      <c r="F13" s="88">
        <v>100</v>
      </c>
      <c r="G13" s="51" t="s">
        <v>47</v>
      </c>
      <c r="H13" s="50">
        <v>526</v>
      </c>
      <c r="I13" s="89"/>
      <c r="J13" s="89"/>
      <c r="K13" s="89"/>
      <c r="L13" s="89"/>
      <c r="M13" s="89"/>
      <c r="N13" s="89"/>
      <c r="O13" s="90"/>
      <c r="P13" s="91">
        <v>281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>
        <v>20</v>
      </c>
      <c r="AG13" s="89">
        <v>0</v>
      </c>
      <c r="AH13" s="89"/>
      <c r="AI13" s="89">
        <v>19</v>
      </c>
      <c r="AJ13" s="92">
        <v>9</v>
      </c>
      <c r="AK13" s="58">
        <f>SUM(I13:AJ13)</f>
        <v>329</v>
      </c>
      <c r="AL13" s="49"/>
      <c r="AM13" s="49"/>
      <c r="AN13" s="49"/>
      <c r="AO13" s="49"/>
      <c r="AP13" s="49"/>
      <c r="AQ13" s="49"/>
      <c r="AR13" s="49"/>
      <c r="AS13" s="49"/>
      <c r="AT13" s="49"/>
      <c r="AU13" s="49"/>
    </row>
    <row r="14" spans="1:47" s="53" customFormat="1" ht="23.25">
      <c r="A14" s="87" t="s">
        <v>45</v>
      </c>
      <c r="B14" s="50" t="s">
        <v>36</v>
      </c>
      <c r="C14" s="50" t="s">
        <v>46</v>
      </c>
      <c r="D14" s="51">
        <v>46139</v>
      </c>
      <c r="E14" s="88">
        <v>6204469250</v>
      </c>
      <c r="F14" s="88">
        <v>300</v>
      </c>
      <c r="G14" s="51" t="s">
        <v>47</v>
      </c>
      <c r="H14" s="50">
        <v>592</v>
      </c>
      <c r="I14" s="89"/>
      <c r="J14" s="89"/>
      <c r="K14" s="89"/>
      <c r="L14" s="89"/>
      <c r="M14" s="89"/>
      <c r="N14" s="89"/>
      <c r="O14" s="90"/>
      <c r="P14" s="91">
        <v>69</v>
      </c>
      <c r="Q14" s="91">
        <v>10</v>
      </c>
      <c r="R14" s="91"/>
      <c r="S14" s="91"/>
      <c r="T14" s="91"/>
      <c r="U14" s="91"/>
      <c r="V14" s="91"/>
      <c r="W14" s="91">
        <v>0</v>
      </c>
      <c r="X14" s="91"/>
      <c r="Y14" s="91"/>
      <c r="Z14" s="91"/>
      <c r="AA14" s="93"/>
      <c r="AB14" s="91"/>
      <c r="AC14" s="91"/>
      <c r="AD14" s="91"/>
      <c r="AE14" s="91"/>
      <c r="AF14" s="91"/>
      <c r="AG14" s="89"/>
      <c r="AH14" s="89"/>
      <c r="AI14" s="89"/>
      <c r="AJ14" s="89"/>
      <c r="AK14" s="59">
        <f t="shared" ref="AK14:AK37" si="0">SUM(I14:AJ14)</f>
        <v>79</v>
      </c>
      <c r="AL14" s="52"/>
      <c r="AM14" s="52"/>
      <c r="AN14" s="52"/>
      <c r="AO14" s="52"/>
      <c r="AP14" s="52"/>
      <c r="AQ14" s="52"/>
      <c r="AR14" s="52"/>
      <c r="AS14" s="52"/>
      <c r="AT14" s="52"/>
      <c r="AU14" s="52"/>
    </row>
    <row r="15" spans="1:47" s="53" customFormat="1" ht="18" customHeight="1">
      <c r="A15" s="87" t="s">
        <v>42</v>
      </c>
      <c r="B15" s="50" t="s">
        <v>36</v>
      </c>
      <c r="C15" s="50" t="s">
        <v>37</v>
      </c>
      <c r="D15" s="51">
        <v>46146</v>
      </c>
      <c r="E15" s="88">
        <v>4510901380</v>
      </c>
      <c r="F15" s="88">
        <v>20</v>
      </c>
      <c r="G15" s="51" t="s">
        <v>48</v>
      </c>
      <c r="H15" s="50">
        <v>288</v>
      </c>
      <c r="I15" s="89"/>
      <c r="J15" s="89"/>
      <c r="K15" s="89"/>
      <c r="L15" s="89"/>
      <c r="M15" s="89"/>
      <c r="N15" s="89"/>
      <c r="O15" s="90"/>
      <c r="P15" s="91"/>
      <c r="Q15" s="91"/>
      <c r="R15" s="91"/>
      <c r="S15" s="91"/>
      <c r="T15" s="91"/>
      <c r="U15" s="91"/>
      <c r="V15" s="91"/>
      <c r="W15" s="91">
        <v>0</v>
      </c>
      <c r="X15" s="91"/>
      <c r="Y15" s="91"/>
      <c r="Z15" s="91"/>
      <c r="AA15" s="91"/>
      <c r="AB15" s="91">
        <v>0</v>
      </c>
      <c r="AC15" s="91"/>
      <c r="AD15" s="91">
        <v>0</v>
      </c>
      <c r="AE15" s="91"/>
      <c r="AF15" s="91">
        <v>3</v>
      </c>
      <c r="AG15" s="89">
        <v>3</v>
      </c>
      <c r="AH15" s="89"/>
      <c r="AI15" s="89">
        <v>0</v>
      </c>
      <c r="AJ15" s="89">
        <v>0</v>
      </c>
      <c r="AK15" s="58">
        <f t="shared" si="0"/>
        <v>6</v>
      </c>
      <c r="AL15" s="52"/>
      <c r="AM15" s="52"/>
      <c r="AN15" s="52"/>
      <c r="AO15" s="52"/>
      <c r="AP15" s="52"/>
      <c r="AQ15" s="52"/>
      <c r="AR15" s="52"/>
      <c r="AS15" s="52"/>
      <c r="AT15" s="52"/>
      <c r="AU15" s="52"/>
    </row>
    <row r="16" spans="1:47" s="53" customFormat="1" ht="18" customHeight="1">
      <c r="A16" s="87" t="s">
        <v>42</v>
      </c>
      <c r="B16" s="50" t="s">
        <v>36</v>
      </c>
      <c r="C16" s="50" t="s">
        <v>37</v>
      </c>
      <c r="D16" s="51">
        <v>46146</v>
      </c>
      <c r="E16" s="88">
        <v>6205301045</v>
      </c>
      <c r="F16" s="88">
        <v>100</v>
      </c>
      <c r="G16" s="51" t="s">
        <v>38</v>
      </c>
      <c r="H16" s="50">
        <v>552</v>
      </c>
      <c r="I16" s="89"/>
      <c r="J16" s="89"/>
      <c r="K16" s="89"/>
      <c r="L16" s="89"/>
      <c r="M16" s="89"/>
      <c r="N16" s="89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>
        <v>8</v>
      </c>
      <c r="AG16" s="89">
        <v>9</v>
      </c>
      <c r="AH16" s="89"/>
      <c r="AI16" s="89">
        <v>9</v>
      </c>
      <c r="AJ16" s="89">
        <v>4</v>
      </c>
      <c r="AK16" s="58">
        <f t="shared" si="0"/>
        <v>30</v>
      </c>
      <c r="AL16" s="52"/>
      <c r="AM16" s="52"/>
      <c r="AN16" s="52"/>
      <c r="AO16" s="52"/>
      <c r="AP16" s="52"/>
      <c r="AQ16" s="52"/>
      <c r="AR16" s="52"/>
      <c r="AS16" s="52"/>
      <c r="AT16" s="52"/>
      <c r="AU16" s="52"/>
    </row>
    <row r="17" spans="1:47" s="53" customFormat="1" ht="18" customHeight="1">
      <c r="A17" s="87" t="s">
        <v>42</v>
      </c>
      <c r="B17" s="50" t="s">
        <v>36</v>
      </c>
      <c r="C17" s="50" t="s">
        <v>37</v>
      </c>
      <c r="D17" s="51">
        <v>46146</v>
      </c>
      <c r="E17" s="88">
        <v>6205422554</v>
      </c>
      <c r="F17" s="88">
        <v>100</v>
      </c>
      <c r="G17" s="51" t="s">
        <v>49</v>
      </c>
      <c r="H17" s="50">
        <v>150</v>
      </c>
      <c r="I17" s="89"/>
      <c r="J17" s="89"/>
      <c r="K17" s="89"/>
      <c r="L17" s="89"/>
      <c r="M17" s="89"/>
      <c r="N17" s="89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>
        <v>0</v>
      </c>
      <c r="AF17" s="91">
        <v>0</v>
      </c>
      <c r="AG17" s="89">
        <v>0</v>
      </c>
      <c r="AH17" s="89"/>
      <c r="AI17" s="89">
        <v>0</v>
      </c>
      <c r="AJ17" s="89">
        <v>0</v>
      </c>
      <c r="AK17" s="58">
        <f t="shared" si="0"/>
        <v>0</v>
      </c>
      <c r="AL17" s="52"/>
      <c r="AM17" s="52"/>
      <c r="AN17" s="52"/>
      <c r="AO17" s="52"/>
      <c r="AP17" s="52"/>
      <c r="AQ17" s="52"/>
      <c r="AR17" s="52"/>
      <c r="AS17" s="52"/>
      <c r="AT17" s="52"/>
      <c r="AU17" s="52"/>
    </row>
    <row r="18" spans="1:47" s="53" customFormat="1" ht="18" customHeight="1">
      <c r="A18" s="87" t="s">
        <v>42</v>
      </c>
      <c r="B18" s="50" t="s">
        <v>36</v>
      </c>
      <c r="C18" s="50" t="s">
        <v>37</v>
      </c>
      <c r="D18" s="51">
        <v>46146</v>
      </c>
      <c r="E18" s="88">
        <v>6205301045</v>
      </c>
      <c r="F18" s="88">
        <v>400</v>
      </c>
      <c r="G18" s="51" t="s">
        <v>38</v>
      </c>
      <c r="H18" s="50">
        <v>840</v>
      </c>
      <c r="I18" s="89"/>
      <c r="J18" s="89"/>
      <c r="K18" s="89"/>
      <c r="L18" s="89"/>
      <c r="M18" s="89"/>
      <c r="N18" s="89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>
        <v>21</v>
      </c>
      <c r="AG18" s="89">
        <v>22</v>
      </c>
      <c r="AH18" s="89"/>
      <c r="AI18" s="89">
        <v>27</v>
      </c>
      <c r="AJ18" s="89">
        <v>13</v>
      </c>
      <c r="AK18" s="58">
        <f t="shared" si="0"/>
        <v>83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</row>
    <row r="19" spans="1:47" s="53" customFormat="1" ht="18" customHeight="1">
      <c r="A19" s="87" t="s">
        <v>50</v>
      </c>
      <c r="B19" s="50" t="s">
        <v>36</v>
      </c>
      <c r="C19" s="50" t="s">
        <v>37</v>
      </c>
      <c r="D19" s="51">
        <v>46146</v>
      </c>
      <c r="E19" s="88">
        <v>6205301045</v>
      </c>
      <c r="F19" s="88">
        <v>200</v>
      </c>
      <c r="G19" s="51" t="s">
        <v>38</v>
      </c>
      <c r="H19" s="50">
        <v>441</v>
      </c>
      <c r="I19" s="89"/>
      <c r="J19" s="89"/>
      <c r="K19" s="89"/>
      <c r="L19" s="89"/>
      <c r="M19" s="89"/>
      <c r="N19" s="89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>
        <v>12</v>
      </c>
      <c r="AG19" s="89">
        <v>11</v>
      </c>
      <c r="AH19" s="89"/>
      <c r="AI19" s="89">
        <v>2</v>
      </c>
      <c r="AJ19" s="89"/>
      <c r="AK19" s="58">
        <f t="shared" si="0"/>
        <v>25</v>
      </c>
      <c r="AL19" s="52"/>
      <c r="AM19" s="52"/>
      <c r="AN19" s="52"/>
      <c r="AO19" s="52"/>
      <c r="AP19" s="52"/>
      <c r="AQ19" s="52"/>
      <c r="AR19" s="52"/>
      <c r="AS19" s="52"/>
      <c r="AT19" s="52"/>
      <c r="AU19" s="52"/>
    </row>
    <row r="20" spans="1:47" s="53" customFormat="1" ht="18" customHeight="1">
      <c r="A20" s="87" t="s">
        <v>35</v>
      </c>
      <c r="B20" s="50" t="s">
        <v>36</v>
      </c>
      <c r="C20" s="50" t="s">
        <v>37</v>
      </c>
      <c r="D20" s="51">
        <v>46146</v>
      </c>
      <c r="E20" s="88">
        <v>3503990090</v>
      </c>
      <c r="F20" s="88">
        <v>10</v>
      </c>
      <c r="G20" s="51" t="s">
        <v>51</v>
      </c>
      <c r="H20" s="50">
        <v>356</v>
      </c>
      <c r="I20" s="89"/>
      <c r="J20" s="89"/>
      <c r="K20" s="89"/>
      <c r="L20" s="89"/>
      <c r="M20" s="89"/>
      <c r="N20" s="89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>
        <v>0</v>
      </c>
      <c r="AC20" s="91"/>
      <c r="AD20" s="91">
        <v>0</v>
      </c>
      <c r="AE20" s="91">
        <v>27</v>
      </c>
      <c r="AF20" s="91">
        <v>0</v>
      </c>
      <c r="AG20" s="89">
        <v>0</v>
      </c>
      <c r="AH20" s="89"/>
      <c r="AI20" s="89"/>
      <c r="AJ20" s="89"/>
      <c r="AK20" s="58">
        <f t="shared" si="0"/>
        <v>27</v>
      </c>
      <c r="AL20" s="52"/>
      <c r="AM20" s="52"/>
      <c r="AN20" s="52"/>
      <c r="AO20" s="52"/>
      <c r="AP20" s="52"/>
      <c r="AQ20" s="52"/>
      <c r="AR20" s="52"/>
      <c r="AS20" s="52"/>
      <c r="AT20" s="52"/>
      <c r="AU20" s="52"/>
    </row>
    <row r="21" spans="1:47" s="53" customFormat="1" ht="18" customHeight="1">
      <c r="A21" s="87" t="s">
        <v>35</v>
      </c>
      <c r="B21" s="50" t="s">
        <v>36</v>
      </c>
      <c r="C21" s="50" t="s">
        <v>37</v>
      </c>
      <c r="D21" s="51">
        <v>46146</v>
      </c>
      <c r="E21" s="88">
        <v>3504054975</v>
      </c>
      <c r="F21" s="88">
        <v>10</v>
      </c>
      <c r="G21" s="51" t="s">
        <v>52</v>
      </c>
      <c r="H21" s="50">
        <v>16</v>
      </c>
      <c r="I21" s="89"/>
      <c r="J21" s="89"/>
      <c r="K21" s="89"/>
      <c r="L21" s="89"/>
      <c r="M21" s="89"/>
      <c r="N21" s="89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>
        <v>0</v>
      </c>
      <c r="Z21" s="91"/>
      <c r="AA21" s="91">
        <v>0</v>
      </c>
      <c r="AB21" s="91">
        <v>0</v>
      </c>
      <c r="AC21" s="91"/>
      <c r="AD21" s="91">
        <v>0</v>
      </c>
      <c r="AE21" s="91">
        <v>3</v>
      </c>
      <c r="AF21" s="91">
        <v>0</v>
      </c>
      <c r="AG21" s="89">
        <v>0</v>
      </c>
      <c r="AH21" s="89"/>
      <c r="AI21" s="89"/>
      <c r="AJ21" s="89"/>
      <c r="AK21" s="58">
        <f t="shared" si="0"/>
        <v>3</v>
      </c>
      <c r="AL21" s="52"/>
      <c r="AM21" s="52"/>
      <c r="AN21" s="52"/>
      <c r="AO21" s="52"/>
      <c r="AP21" s="52"/>
      <c r="AQ21" s="52"/>
      <c r="AR21" s="52"/>
      <c r="AS21" s="52"/>
      <c r="AT21" s="52"/>
      <c r="AU21" s="52"/>
    </row>
    <row r="22" spans="1:47" s="53" customFormat="1" ht="18" customHeight="1">
      <c r="A22" s="87" t="s">
        <v>35</v>
      </c>
      <c r="B22" s="50" t="s">
        <v>36</v>
      </c>
      <c r="C22" s="50" t="s">
        <v>37</v>
      </c>
      <c r="D22" s="51">
        <v>46146</v>
      </c>
      <c r="E22" s="88">
        <v>6205301045</v>
      </c>
      <c r="F22" s="88">
        <v>300</v>
      </c>
      <c r="G22" s="51" t="s">
        <v>38</v>
      </c>
      <c r="H22" s="50">
        <v>1247</v>
      </c>
      <c r="I22" s="89"/>
      <c r="J22" s="89"/>
      <c r="K22" s="89"/>
      <c r="L22" s="89"/>
      <c r="M22" s="89"/>
      <c r="N22" s="89"/>
      <c r="O22" s="90"/>
      <c r="P22" s="91"/>
      <c r="Q22" s="91"/>
      <c r="R22" s="91"/>
      <c r="S22" s="91"/>
      <c r="T22" s="91"/>
      <c r="U22" s="91"/>
      <c r="V22" s="91"/>
      <c r="W22" s="91">
        <v>80</v>
      </c>
      <c r="X22" s="91"/>
      <c r="Y22" s="91">
        <v>100</v>
      </c>
      <c r="Z22" s="91">
        <v>160</v>
      </c>
      <c r="AA22" s="91"/>
      <c r="AB22" s="91"/>
      <c r="AC22" s="91">
        <v>40</v>
      </c>
      <c r="AD22" s="91">
        <v>38</v>
      </c>
      <c r="AE22" s="91">
        <v>95</v>
      </c>
      <c r="AF22" s="91">
        <v>26</v>
      </c>
      <c r="AG22" s="89">
        <v>30</v>
      </c>
      <c r="AH22" s="89"/>
      <c r="AI22" s="89">
        <v>23</v>
      </c>
      <c r="AJ22" s="89">
        <v>9</v>
      </c>
      <c r="AK22" s="58">
        <f t="shared" si="0"/>
        <v>601</v>
      </c>
      <c r="AL22" s="52"/>
      <c r="AM22" s="52"/>
      <c r="AN22" s="52"/>
      <c r="AO22" s="52"/>
      <c r="AP22" s="52"/>
      <c r="AQ22" s="52"/>
      <c r="AR22" s="52"/>
      <c r="AS22" s="52"/>
      <c r="AT22" s="52"/>
      <c r="AU22" s="52"/>
    </row>
    <row r="23" spans="1:47" s="53" customFormat="1" ht="18" customHeight="1">
      <c r="A23" s="94" t="s">
        <v>35</v>
      </c>
      <c r="B23" s="50" t="s">
        <v>36</v>
      </c>
      <c r="C23" s="50" t="s">
        <v>37</v>
      </c>
      <c r="D23" s="51">
        <v>46146</v>
      </c>
      <c r="E23" s="95">
        <v>6205311894</v>
      </c>
      <c r="F23" s="95">
        <v>100</v>
      </c>
      <c r="G23" s="96" t="s">
        <v>53</v>
      </c>
      <c r="H23" s="97">
        <v>1</v>
      </c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>
        <v>0</v>
      </c>
      <c r="Y23" s="97">
        <v>0</v>
      </c>
      <c r="Z23" s="97">
        <v>0</v>
      </c>
      <c r="AA23" s="97"/>
      <c r="AB23" s="97">
        <v>0</v>
      </c>
      <c r="AC23" s="97">
        <v>0</v>
      </c>
      <c r="AD23" s="97">
        <v>0</v>
      </c>
      <c r="AE23" s="97">
        <v>0</v>
      </c>
      <c r="AF23" s="91">
        <v>0</v>
      </c>
      <c r="AG23" s="89">
        <v>0</v>
      </c>
      <c r="AH23" s="89"/>
      <c r="AI23" s="89"/>
      <c r="AJ23" s="89"/>
      <c r="AK23" s="58">
        <f t="shared" si="0"/>
        <v>0</v>
      </c>
      <c r="AL23" s="52"/>
      <c r="AM23" s="52"/>
      <c r="AN23" s="52"/>
      <c r="AO23" s="52"/>
      <c r="AP23" s="52"/>
      <c r="AQ23" s="52"/>
      <c r="AR23" s="52"/>
      <c r="AS23" s="52"/>
      <c r="AT23" s="52"/>
      <c r="AU23" s="52"/>
    </row>
    <row r="24" spans="1:47" s="53" customFormat="1" ht="18" customHeight="1">
      <c r="A24" s="94" t="s">
        <v>54</v>
      </c>
      <c r="B24" s="50" t="s">
        <v>36</v>
      </c>
      <c r="C24" s="50" t="s">
        <v>37</v>
      </c>
      <c r="D24" s="51">
        <v>46146</v>
      </c>
      <c r="E24" s="95">
        <v>3504000320</v>
      </c>
      <c r="F24" s="95">
        <v>10</v>
      </c>
      <c r="G24" s="96" t="s">
        <v>55</v>
      </c>
      <c r="H24" s="97">
        <v>138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>
        <v>30</v>
      </c>
      <c r="Z24" s="97">
        <v>18</v>
      </c>
      <c r="AA24" s="97"/>
      <c r="AB24" s="97"/>
      <c r="AC24" s="97">
        <v>0</v>
      </c>
      <c r="AD24" s="97">
        <v>6</v>
      </c>
      <c r="AE24" s="97">
        <v>6</v>
      </c>
      <c r="AF24" s="91">
        <v>0</v>
      </c>
      <c r="AG24" s="89">
        <v>0</v>
      </c>
      <c r="AH24" s="89"/>
      <c r="AI24" s="89"/>
      <c r="AJ24" s="89"/>
      <c r="AK24" s="58">
        <f t="shared" si="0"/>
        <v>60</v>
      </c>
      <c r="AL24" s="52"/>
      <c r="AM24" s="52"/>
      <c r="AN24" s="52"/>
      <c r="AO24" s="52"/>
      <c r="AP24" s="52"/>
      <c r="AQ24" s="52"/>
      <c r="AR24" s="52"/>
      <c r="AS24" s="52"/>
      <c r="AT24" s="52"/>
      <c r="AU24" s="52"/>
    </row>
    <row r="25" spans="1:47" s="53" customFormat="1" ht="18" customHeight="1">
      <c r="A25" s="94" t="s">
        <v>54</v>
      </c>
      <c r="B25" s="50" t="s">
        <v>36</v>
      </c>
      <c r="C25" s="50" t="s">
        <v>37</v>
      </c>
      <c r="D25" s="51">
        <v>46146</v>
      </c>
      <c r="E25" s="95">
        <v>3504002461</v>
      </c>
      <c r="F25" s="95">
        <v>10</v>
      </c>
      <c r="G25" s="96" t="s">
        <v>56</v>
      </c>
      <c r="H25" s="97">
        <v>120</v>
      </c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>
        <v>0</v>
      </c>
      <c r="U25" s="97"/>
      <c r="V25" s="97"/>
      <c r="W25" s="97">
        <v>12</v>
      </c>
      <c r="X25" s="97"/>
      <c r="Y25" s="97">
        <v>18</v>
      </c>
      <c r="Z25" s="97">
        <v>18</v>
      </c>
      <c r="AA25" s="97"/>
      <c r="AB25" s="97"/>
      <c r="AC25" s="97">
        <v>12</v>
      </c>
      <c r="AD25" s="97">
        <v>0</v>
      </c>
      <c r="AE25" s="97">
        <v>12</v>
      </c>
      <c r="AF25" s="91">
        <v>0</v>
      </c>
      <c r="AG25" s="89">
        <v>0</v>
      </c>
      <c r="AH25" s="89"/>
      <c r="AI25" s="89"/>
      <c r="AJ25" s="89"/>
      <c r="AK25" s="58">
        <f t="shared" si="0"/>
        <v>72</v>
      </c>
      <c r="AL25" s="52"/>
      <c r="AM25" s="52"/>
      <c r="AN25" s="52"/>
      <c r="AO25" s="52"/>
      <c r="AP25" s="52"/>
      <c r="AQ25" s="52"/>
      <c r="AR25" s="52"/>
      <c r="AS25" s="52"/>
      <c r="AT25" s="52"/>
      <c r="AU25" s="52"/>
    </row>
    <row r="26" spans="1:47" s="53" customFormat="1" ht="18" customHeight="1">
      <c r="A26" s="94" t="s">
        <v>54</v>
      </c>
      <c r="B26" s="50" t="s">
        <v>36</v>
      </c>
      <c r="C26" s="50" t="s">
        <v>37</v>
      </c>
      <c r="D26" s="51">
        <v>46146</v>
      </c>
      <c r="E26" s="95">
        <v>3503996475</v>
      </c>
      <c r="F26" s="95">
        <v>20</v>
      </c>
      <c r="G26" s="96" t="s">
        <v>57</v>
      </c>
      <c r="H26" s="97">
        <v>192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>
        <v>0</v>
      </c>
      <c r="U26" s="97"/>
      <c r="V26" s="97">
        <v>6</v>
      </c>
      <c r="W26" s="97">
        <v>24</v>
      </c>
      <c r="X26" s="97"/>
      <c r="Y26" s="97">
        <v>36</v>
      </c>
      <c r="Z26" s="97">
        <v>24</v>
      </c>
      <c r="AA26" s="97"/>
      <c r="AB26" s="97"/>
      <c r="AC26" s="97">
        <v>18</v>
      </c>
      <c r="AD26" s="97">
        <v>0</v>
      </c>
      <c r="AE26" s="97">
        <v>6</v>
      </c>
      <c r="AF26" s="91">
        <v>0</v>
      </c>
      <c r="AG26" s="89">
        <v>0</v>
      </c>
      <c r="AH26" s="89"/>
      <c r="AI26" s="89"/>
      <c r="AJ26" s="89"/>
      <c r="AK26" s="58">
        <f t="shared" si="0"/>
        <v>114</v>
      </c>
      <c r="AL26" s="52"/>
      <c r="AM26" s="52"/>
      <c r="AN26" s="52"/>
      <c r="AO26" s="52"/>
      <c r="AP26" s="52"/>
      <c r="AQ26" s="52"/>
      <c r="AR26" s="52"/>
      <c r="AS26" s="52"/>
      <c r="AT26" s="52"/>
      <c r="AU26" s="52"/>
    </row>
    <row r="27" spans="1:47" s="53" customFormat="1" ht="18" customHeight="1">
      <c r="A27" s="94" t="s">
        <v>54</v>
      </c>
      <c r="B27" s="50" t="s">
        <v>36</v>
      </c>
      <c r="C27" s="50" t="s">
        <v>37</v>
      </c>
      <c r="D27" s="51">
        <v>46146</v>
      </c>
      <c r="E27" s="95">
        <v>3503996476</v>
      </c>
      <c r="F27" s="95">
        <v>10</v>
      </c>
      <c r="G27" s="96" t="s">
        <v>57</v>
      </c>
      <c r="H27" s="97">
        <v>132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>
        <v>0</v>
      </c>
      <c r="U27" s="97"/>
      <c r="V27" s="97">
        <v>0</v>
      </c>
      <c r="W27" s="97">
        <v>6</v>
      </c>
      <c r="X27" s="97"/>
      <c r="Y27" s="97">
        <v>30</v>
      </c>
      <c r="Z27" s="97">
        <v>24</v>
      </c>
      <c r="AA27" s="97"/>
      <c r="AB27" s="97"/>
      <c r="AC27" s="97">
        <v>12</v>
      </c>
      <c r="AD27" s="97">
        <v>0</v>
      </c>
      <c r="AE27" s="97">
        <v>0</v>
      </c>
      <c r="AF27" s="91">
        <v>0</v>
      </c>
      <c r="AG27" s="89">
        <v>0</v>
      </c>
      <c r="AH27" s="89"/>
      <c r="AI27" s="89"/>
      <c r="AJ27" s="89"/>
      <c r="AK27" s="58">
        <f t="shared" si="0"/>
        <v>72</v>
      </c>
      <c r="AL27" s="52"/>
      <c r="AM27" s="52"/>
      <c r="AN27" s="52"/>
      <c r="AO27" s="52"/>
      <c r="AP27" s="52"/>
      <c r="AQ27" s="52"/>
      <c r="AR27" s="52"/>
      <c r="AS27" s="52"/>
      <c r="AT27" s="52"/>
      <c r="AU27" s="52"/>
    </row>
    <row r="28" spans="1:47" s="53" customFormat="1" ht="18" customHeight="1">
      <c r="A28" s="94" t="s">
        <v>54</v>
      </c>
      <c r="B28" s="50" t="s">
        <v>36</v>
      </c>
      <c r="C28" s="50" t="s">
        <v>37</v>
      </c>
      <c r="D28" s="51">
        <v>46146</v>
      </c>
      <c r="E28" s="95">
        <v>3504001467</v>
      </c>
      <c r="F28" s="95">
        <v>20</v>
      </c>
      <c r="G28" s="96" t="s">
        <v>58</v>
      </c>
      <c r="H28" s="98">
        <v>154</v>
      </c>
      <c r="I28" s="99"/>
      <c r="J28" s="99"/>
      <c r="K28" s="99"/>
      <c r="L28" s="99"/>
      <c r="M28" s="99"/>
      <c r="N28" s="99"/>
      <c r="O28" s="99"/>
      <c r="P28" s="99"/>
      <c r="Q28" s="98"/>
      <c r="R28" s="98"/>
      <c r="S28" s="98"/>
      <c r="T28" s="98"/>
      <c r="U28" s="98"/>
      <c r="V28" s="98">
        <v>6</v>
      </c>
      <c r="W28" s="98">
        <v>14</v>
      </c>
      <c r="X28" s="98"/>
      <c r="Y28" s="98">
        <v>26</v>
      </c>
      <c r="Z28" s="98">
        <v>18</v>
      </c>
      <c r="AA28" s="98"/>
      <c r="AB28" s="98">
        <v>4</v>
      </c>
      <c r="AC28" s="98">
        <v>17</v>
      </c>
      <c r="AD28" s="98">
        <v>5</v>
      </c>
      <c r="AE28" s="98">
        <v>5</v>
      </c>
      <c r="AF28" s="97">
        <v>3</v>
      </c>
      <c r="AG28" s="97">
        <v>3</v>
      </c>
      <c r="AH28" s="97"/>
      <c r="AI28" s="97"/>
      <c r="AJ28" s="89"/>
      <c r="AK28" s="58">
        <f t="shared" si="0"/>
        <v>101</v>
      </c>
      <c r="AL28" s="52"/>
      <c r="AM28" s="52"/>
      <c r="AN28" s="52"/>
      <c r="AO28" s="52"/>
      <c r="AP28" s="52"/>
      <c r="AQ28" s="52"/>
      <c r="AR28" s="52"/>
      <c r="AS28" s="52"/>
      <c r="AT28" s="52"/>
      <c r="AU28" s="52"/>
    </row>
    <row r="29" spans="1:47" s="53" customFormat="1" ht="18" customHeight="1">
      <c r="A29" s="94" t="s">
        <v>59</v>
      </c>
      <c r="B29" s="50" t="s">
        <v>36</v>
      </c>
      <c r="C29" s="50" t="s">
        <v>46</v>
      </c>
      <c r="D29" s="51">
        <v>46146</v>
      </c>
      <c r="E29" s="95">
        <v>3503996473</v>
      </c>
      <c r="F29" s="95">
        <v>30</v>
      </c>
      <c r="G29" s="96" t="s">
        <v>57</v>
      </c>
      <c r="H29" s="98">
        <v>311</v>
      </c>
      <c r="I29" s="99"/>
      <c r="J29" s="99"/>
      <c r="K29" s="99"/>
      <c r="L29" s="99"/>
      <c r="M29" s="99"/>
      <c r="N29" s="99">
        <v>0</v>
      </c>
      <c r="O29" s="99">
        <v>4</v>
      </c>
      <c r="P29" s="99">
        <v>18</v>
      </c>
      <c r="Q29" s="98">
        <v>33</v>
      </c>
      <c r="R29" s="98"/>
      <c r="S29" s="98"/>
      <c r="T29" s="98"/>
      <c r="U29" s="98"/>
      <c r="V29" s="98">
        <v>44</v>
      </c>
      <c r="W29" s="98">
        <v>0</v>
      </c>
      <c r="X29" s="98">
        <v>0</v>
      </c>
      <c r="Y29" s="98">
        <v>0</v>
      </c>
      <c r="Z29" s="98">
        <v>0</v>
      </c>
      <c r="AA29" s="98"/>
      <c r="AB29" s="98">
        <v>0</v>
      </c>
      <c r="AC29" s="98"/>
      <c r="AD29" s="98"/>
      <c r="AE29" s="98"/>
      <c r="AF29" s="97"/>
      <c r="AG29" s="97"/>
      <c r="AH29" s="97"/>
      <c r="AI29" s="97"/>
      <c r="AJ29" s="89"/>
      <c r="AK29" s="58">
        <f t="shared" si="0"/>
        <v>99</v>
      </c>
      <c r="AL29" s="52"/>
      <c r="AM29" s="52"/>
      <c r="AN29" s="52"/>
      <c r="AO29" s="52"/>
      <c r="AP29" s="52"/>
      <c r="AQ29" s="52"/>
      <c r="AR29" s="52"/>
      <c r="AS29" s="52"/>
      <c r="AT29" s="52"/>
      <c r="AU29" s="52"/>
    </row>
    <row r="30" spans="1:47" s="53" customFormat="1" ht="18" customHeight="1">
      <c r="A30" s="94" t="s">
        <v>59</v>
      </c>
      <c r="B30" s="50" t="s">
        <v>36</v>
      </c>
      <c r="C30" s="50" t="s">
        <v>46</v>
      </c>
      <c r="D30" s="51">
        <v>46146</v>
      </c>
      <c r="E30" s="95">
        <v>3504048452</v>
      </c>
      <c r="F30" s="95">
        <v>10</v>
      </c>
      <c r="G30" s="96" t="s">
        <v>52</v>
      </c>
      <c r="H30" s="98">
        <v>13</v>
      </c>
      <c r="I30" s="99"/>
      <c r="J30" s="99"/>
      <c r="K30" s="99"/>
      <c r="L30" s="99"/>
      <c r="M30" s="99"/>
      <c r="N30" s="99">
        <v>0</v>
      </c>
      <c r="O30" s="99">
        <v>2</v>
      </c>
      <c r="P30" s="99">
        <v>0</v>
      </c>
      <c r="Q30" s="98">
        <v>3</v>
      </c>
      <c r="R30" s="98"/>
      <c r="S30" s="98">
        <v>0</v>
      </c>
      <c r="T30" s="98"/>
      <c r="U30" s="98">
        <v>0</v>
      </c>
      <c r="V30" s="98">
        <v>4</v>
      </c>
      <c r="W30" s="98">
        <v>0</v>
      </c>
      <c r="X30" s="98">
        <v>0</v>
      </c>
      <c r="Y30" s="98">
        <v>0</v>
      </c>
      <c r="Z30" s="98">
        <v>0</v>
      </c>
      <c r="AA30" s="98">
        <v>0</v>
      </c>
      <c r="AB30" s="98">
        <v>0</v>
      </c>
      <c r="AC30" s="98"/>
      <c r="AD30" s="98"/>
      <c r="AE30" s="98"/>
      <c r="AF30" s="97"/>
      <c r="AG30" s="97"/>
      <c r="AH30" s="97"/>
      <c r="AI30" s="97"/>
      <c r="AJ30" s="89"/>
      <c r="AK30" s="58">
        <f t="shared" si="0"/>
        <v>9</v>
      </c>
      <c r="AL30" s="52"/>
      <c r="AM30" s="52"/>
      <c r="AN30" s="52"/>
      <c r="AO30" s="52"/>
      <c r="AP30" s="52"/>
      <c r="AQ30" s="52"/>
      <c r="AR30" s="52"/>
      <c r="AS30" s="52"/>
      <c r="AT30" s="52"/>
      <c r="AU30" s="52"/>
    </row>
    <row r="31" spans="1:47" s="53" customFormat="1" ht="18" customHeight="1">
      <c r="A31" s="94" t="s">
        <v>59</v>
      </c>
      <c r="B31" s="50" t="s">
        <v>36</v>
      </c>
      <c r="C31" s="50" t="s">
        <v>46</v>
      </c>
      <c r="D31" s="51">
        <v>46146</v>
      </c>
      <c r="E31" s="95">
        <v>3503996474</v>
      </c>
      <c r="F31" s="95">
        <v>10</v>
      </c>
      <c r="G31" s="96" t="s">
        <v>57</v>
      </c>
      <c r="H31" s="100">
        <v>132</v>
      </c>
      <c r="I31" s="97"/>
      <c r="J31" s="97"/>
      <c r="K31" s="97"/>
      <c r="L31" s="97"/>
      <c r="M31" s="97"/>
      <c r="N31" s="97">
        <v>0</v>
      </c>
      <c r="O31" s="97">
        <v>0</v>
      </c>
      <c r="P31" s="97">
        <v>6</v>
      </c>
      <c r="Q31" s="97">
        <v>12</v>
      </c>
      <c r="R31" s="97"/>
      <c r="S31" s="97"/>
      <c r="T31" s="97"/>
      <c r="U31" s="97"/>
      <c r="V31" s="97">
        <v>24</v>
      </c>
      <c r="W31" s="97">
        <v>0</v>
      </c>
      <c r="X31" s="97">
        <v>0</v>
      </c>
      <c r="Y31" s="97">
        <v>0</v>
      </c>
      <c r="Z31" s="97">
        <v>0</v>
      </c>
      <c r="AA31" s="97">
        <v>0</v>
      </c>
      <c r="AB31" s="97">
        <v>0</v>
      </c>
      <c r="AC31" s="97"/>
      <c r="AD31" s="97"/>
      <c r="AE31" s="97"/>
      <c r="AF31" s="97"/>
      <c r="AG31" s="97"/>
      <c r="AH31" s="97"/>
      <c r="AI31" s="97"/>
      <c r="AJ31" s="97"/>
      <c r="AK31" s="58">
        <f t="shared" si="0"/>
        <v>42</v>
      </c>
      <c r="AL31" s="52"/>
      <c r="AM31" s="52"/>
      <c r="AN31" s="52"/>
      <c r="AO31" s="52"/>
      <c r="AP31" s="52"/>
      <c r="AQ31" s="52"/>
      <c r="AR31" s="52"/>
      <c r="AS31" s="52"/>
      <c r="AT31" s="52"/>
      <c r="AU31" s="52"/>
    </row>
    <row r="32" spans="1:47" s="53" customFormat="1" ht="18" customHeight="1">
      <c r="A32" s="94" t="s">
        <v>59</v>
      </c>
      <c r="B32" s="50" t="s">
        <v>36</v>
      </c>
      <c r="C32" s="50" t="s">
        <v>46</v>
      </c>
      <c r="D32" s="51">
        <v>46146</v>
      </c>
      <c r="E32" s="95">
        <v>3504001466</v>
      </c>
      <c r="F32" s="95">
        <v>20</v>
      </c>
      <c r="G32" s="96" t="s">
        <v>58</v>
      </c>
      <c r="H32" s="100">
        <v>184</v>
      </c>
      <c r="I32" s="99"/>
      <c r="J32" s="99"/>
      <c r="K32" s="99"/>
      <c r="L32" s="99"/>
      <c r="M32" s="99"/>
      <c r="N32" s="99">
        <v>2</v>
      </c>
      <c r="O32" s="99">
        <v>4</v>
      </c>
      <c r="P32" s="99">
        <v>16</v>
      </c>
      <c r="Q32" s="98">
        <v>24</v>
      </c>
      <c r="R32" s="98"/>
      <c r="S32" s="98"/>
      <c r="T32" s="98"/>
      <c r="U32" s="98">
        <v>100</v>
      </c>
      <c r="V32" s="98">
        <v>13</v>
      </c>
      <c r="W32" s="98">
        <v>4</v>
      </c>
      <c r="X32" s="98">
        <v>2</v>
      </c>
      <c r="Y32" s="98">
        <v>0</v>
      </c>
      <c r="Z32" s="98">
        <v>0</v>
      </c>
      <c r="AA32" s="98">
        <v>0</v>
      </c>
      <c r="AB32" s="98">
        <v>0</v>
      </c>
      <c r="AC32" s="98"/>
      <c r="AD32" s="98"/>
      <c r="AE32" s="98"/>
      <c r="AF32" s="97"/>
      <c r="AG32" s="97"/>
      <c r="AH32" s="97"/>
      <c r="AI32" s="97"/>
      <c r="AJ32" s="97"/>
      <c r="AK32" s="58">
        <f t="shared" si="0"/>
        <v>165</v>
      </c>
      <c r="AL32" s="52"/>
      <c r="AM32" s="52"/>
      <c r="AN32" s="52"/>
      <c r="AO32" s="52"/>
      <c r="AP32" s="52"/>
      <c r="AQ32" s="52"/>
      <c r="AR32" s="52"/>
      <c r="AS32" s="52"/>
      <c r="AT32" s="52"/>
      <c r="AU32" s="52"/>
    </row>
    <row r="33" spans="1:47" s="53" customFormat="1" ht="18" customHeight="1">
      <c r="A33" s="94" t="s">
        <v>60</v>
      </c>
      <c r="B33" s="50" t="s">
        <v>36</v>
      </c>
      <c r="C33" s="50" t="s">
        <v>46</v>
      </c>
      <c r="D33" s="51">
        <v>46146</v>
      </c>
      <c r="E33" s="95">
        <v>3503996473</v>
      </c>
      <c r="F33" s="95">
        <v>10</v>
      </c>
      <c r="G33" s="96" t="s">
        <v>57</v>
      </c>
      <c r="H33" s="100">
        <v>474</v>
      </c>
      <c r="I33" s="99"/>
      <c r="J33" s="99"/>
      <c r="K33" s="99"/>
      <c r="L33" s="99"/>
      <c r="M33" s="99"/>
      <c r="N33" s="99"/>
      <c r="O33" s="99">
        <v>6</v>
      </c>
      <c r="P33" s="99">
        <v>24</v>
      </c>
      <c r="Q33" s="98">
        <v>48</v>
      </c>
      <c r="R33" s="98"/>
      <c r="S33" s="98"/>
      <c r="T33" s="98"/>
      <c r="U33" s="98">
        <v>60</v>
      </c>
      <c r="V33" s="98">
        <v>66</v>
      </c>
      <c r="W33" s="98">
        <v>6</v>
      </c>
      <c r="X33" s="98"/>
      <c r="Y33" s="98"/>
      <c r="Z33" s="98"/>
      <c r="AA33" s="98"/>
      <c r="AB33" s="98"/>
      <c r="AC33" s="98"/>
      <c r="AD33" s="98"/>
      <c r="AE33" s="98"/>
      <c r="AF33" s="97"/>
      <c r="AG33" s="97"/>
      <c r="AH33" s="97"/>
      <c r="AI33" s="97"/>
      <c r="AJ33" s="97"/>
      <c r="AK33" s="58">
        <f t="shared" si="0"/>
        <v>210</v>
      </c>
      <c r="AL33" s="52"/>
      <c r="AM33" s="52"/>
      <c r="AN33" s="52"/>
      <c r="AO33" s="52"/>
      <c r="AP33" s="52"/>
      <c r="AQ33" s="52"/>
      <c r="AR33" s="52"/>
      <c r="AS33" s="52"/>
      <c r="AT33" s="52"/>
      <c r="AU33" s="52"/>
    </row>
    <row r="34" spans="1:47" s="53" customFormat="1" ht="18" customHeight="1">
      <c r="A34" s="94" t="s">
        <v>60</v>
      </c>
      <c r="B34" s="50" t="s">
        <v>36</v>
      </c>
      <c r="C34" s="50" t="s">
        <v>46</v>
      </c>
      <c r="D34" s="51">
        <v>46146</v>
      </c>
      <c r="E34" s="95">
        <v>6205304418</v>
      </c>
      <c r="F34" s="95">
        <v>100</v>
      </c>
      <c r="G34" s="96" t="s">
        <v>61</v>
      </c>
      <c r="H34" s="100">
        <v>454</v>
      </c>
      <c r="I34" s="97"/>
      <c r="J34" s="97"/>
      <c r="K34" s="97"/>
      <c r="L34" s="97"/>
      <c r="M34" s="97"/>
      <c r="N34" s="97">
        <v>8</v>
      </c>
      <c r="O34" s="97">
        <v>9</v>
      </c>
      <c r="P34" s="97">
        <v>30</v>
      </c>
      <c r="Q34" s="97">
        <v>33</v>
      </c>
      <c r="R34" s="97">
        <v>30</v>
      </c>
      <c r="S34" s="97"/>
      <c r="T34" s="97"/>
      <c r="U34" s="97">
        <v>61</v>
      </c>
      <c r="V34" s="97">
        <v>50</v>
      </c>
      <c r="W34" s="97">
        <v>38</v>
      </c>
      <c r="X34" s="97">
        <v>17</v>
      </c>
      <c r="Y34" s="97">
        <v>9</v>
      </c>
      <c r="Z34" s="97">
        <v>7</v>
      </c>
      <c r="AA34" s="97"/>
      <c r="AB34" s="97">
        <v>5</v>
      </c>
      <c r="AC34" s="97"/>
      <c r="AD34" s="97"/>
      <c r="AE34" s="97"/>
      <c r="AF34" s="97"/>
      <c r="AG34" s="97"/>
      <c r="AH34" s="97"/>
      <c r="AI34" s="97"/>
      <c r="AJ34" s="97"/>
      <c r="AK34" s="58">
        <f t="shared" si="0"/>
        <v>297</v>
      </c>
      <c r="AL34" s="52"/>
      <c r="AM34" s="52"/>
      <c r="AN34" s="52"/>
      <c r="AO34" s="52"/>
      <c r="AP34" s="52"/>
      <c r="AQ34" s="52"/>
      <c r="AR34" s="52"/>
      <c r="AS34" s="52"/>
      <c r="AT34" s="52"/>
      <c r="AU34" s="52"/>
    </row>
    <row r="35" spans="1:47" s="53" customFormat="1" ht="18" customHeight="1">
      <c r="A35" s="94" t="s">
        <v>60</v>
      </c>
      <c r="B35" s="50" t="s">
        <v>36</v>
      </c>
      <c r="C35" s="50" t="s">
        <v>46</v>
      </c>
      <c r="D35" s="51">
        <v>46146</v>
      </c>
      <c r="E35" s="95">
        <v>3503996474</v>
      </c>
      <c r="F35" s="95">
        <v>20</v>
      </c>
      <c r="G35" s="96" t="s">
        <v>57</v>
      </c>
      <c r="H35" s="101">
        <v>132</v>
      </c>
      <c r="I35" s="97"/>
      <c r="J35" s="97"/>
      <c r="K35" s="97"/>
      <c r="L35" s="97"/>
      <c r="M35" s="97"/>
      <c r="N35" s="97"/>
      <c r="O35" s="97"/>
      <c r="P35" s="97">
        <v>6</v>
      </c>
      <c r="Q35" s="97">
        <v>12</v>
      </c>
      <c r="R35" s="97">
        <v>24</v>
      </c>
      <c r="S35" s="97"/>
      <c r="T35" s="97"/>
      <c r="U35" s="97">
        <v>18</v>
      </c>
      <c r="V35" s="97">
        <v>24</v>
      </c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58">
        <f t="shared" si="0"/>
        <v>84</v>
      </c>
      <c r="AL35" s="52"/>
      <c r="AM35" s="52"/>
      <c r="AN35" s="52"/>
      <c r="AO35" s="52"/>
      <c r="AP35" s="52"/>
      <c r="AQ35" s="52"/>
      <c r="AR35" s="52"/>
      <c r="AS35" s="52"/>
      <c r="AT35" s="52"/>
      <c r="AU35" s="52"/>
    </row>
    <row r="36" spans="1:47" s="53" customFormat="1" ht="18" customHeight="1">
      <c r="A36" s="94" t="s">
        <v>60</v>
      </c>
      <c r="B36" s="50" t="s">
        <v>36</v>
      </c>
      <c r="C36" s="50" t="s">
        <v>46</v>
      </c>
      <c r="D36" s="51">
        <v>46146</v>
      </c>
      <c r="E36" s="95">
        <v>3504001466</v>
      </c>
      <c r="F36" s="95">
        <v>10</v>
      </c>
      <c r="G36" s="96" t="s">
        <v>58</v>
      </c>
      <c r="H36" s="100">
        <v>154</v>
      </c>
      <c r="I36" s="99"/>
      <c r="J36" s="99"/>
      <c r="K36" s="99"/>
      <c r="L36" s="99"/>
      <c r="M36" s="99"/>
      <c r="N36" s="99">
        <v>2</v>
      </c>
      <c r="O36" s="99">
        <v>3</v>
      </c>
      <c r="P36" s="99">
        <v>14</v>
      </c>
      <c r="Q36" s="98">
        <v>20</v>
      </c>
      <c r="R36" s="98">
        <v>29</v>
      </c>
      <c r="S36" s="98"/>
      <c r="T36" s="98">
        <v>29</v>
      </c>
      <c r="U36" s="98">
        <v>15</v>
      </c>
      <c r="V36" s="98">
        <v>11</v>
      </c>
      <c r="W36" s="98">
        <v>3</v>
      </c>
      <c r="X36" s="98">
        <v>2</v>
      </c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58">
        <f t="shared" si="0"/>
        <v>128</v>
      </c>
      <c r="AL36" s="52"/>
      <c r="AM36" s="52"/>
      <c r="AN36" s="52"/>
      <c r="AO36" s="52"/>
      <c r="AP36" s="52"/>
      <c r="AQ36" s="52"/>
      <c r="AR36" s="52"/>
      <c r="AS36" s="52"/>
      <c r="AT36" s="52"/>
      <c r="AU36" s="52"/>
    </row>
    <row r="37" spans="1:47" s="53" customFormat="1" ht="23.25">
      <c r="A37" s="62"/>
      <c r="B37" s="60"/>
      <c r="C37" s="60"/>
      <c r="D37" s="61"/>
      <c r="E37" s="63"/>
      <c r="F37" s="63"/>
      <c r="G37" s="64"/>
      <c r="H37" s="69"/>
      <c r="I37" s="67"/>
      <c r="J37" s="67"/>
      <c r="K37" s="67"/>
      <c r="L37" s="67"/>
      <c r="M37" s="67"/>
      <c r="N37" s="67"/>
      <c r="O37" s="67"/>
      <c r="P37" s="67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58">
        <f t="shared" si="0"/>
        <v>0</v>
      </c>
      <c r="AL37" s="52"/>
      <c r="AM37" s="52"/>
      <c r="AN37" s="52"/>
      <c r="AO37" s="52"/>
      <c r="AP37" s="52"/>
      <c r="AQ37" s="52"/>
      <c r="AR37" s="52"/>
      <c r="AS37" s="52"/>
      <c r="AT37" s="52"/>
      <c r="AU37" s="52"/>
    </row>
    <row r="38" spans="1:47" s="53" customFormat="1" ht="18" customHeight="1">
      <c r="A38" s="62"/>
      <c r="B38" s="60"/>
      <c r="C38" s="60"/>
      <c r="D38" s="61"/>
      <c r="E38" s="63"/>
      <c r="F38" s="63"/>
      <c r="G38" s="64"/>
      <c r="H38" s="69"/>
      <c r="I38" s="67"/>
      <c r="J38" s="67"/>
      <c r="K38" s="67"/>
      <c r="L38" s="67"/>
      <c r="M38" s="67"/>
      <c r="N38" s="67"/>
      <c r="O38" s="67"/>
      <c r="P38" s="67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71">
        <f t="shared" ref="AK38:AK50" si="1">SUM(I38:AJ38)</f>
        <v>0</v>
      </c>
      <c r="AL38" s="52"/>
      <c r="AM38" s="52"/>
      <c r="AN38" s="52"/>
      <c r="AO38" s="52"/>
      <c r="AP38" s="52"/>
      <c r="AQ38" s="52"/>
      <c r="AR38" s="52"/>
      <c r="AS38" s="52"/>
      <c r="AT38" s="52"/>
      <c r="AU38" s="52"/>
    </row>
    <row r="39" spans="1:47" s="53" customFormat="1" ht="18" customHeight="1">
      <c r="A39" s="62"/>
      <c r="B39" s="60"/>
      <c r="C39" s="60"/>
      <c r="D39" s="61"/>
      <c r="E39" s="63"/>
      <c r="F39" s="63"/>
      <c r="G39" s="64"/>
      <c r="H39" s="69"/>
      <c r="I39" s="67"/>
      <c r="J39" s="67"/>
      <c r="K39" s="67"/>
      <c r="L39" s="67"/>
      <c r="M39" s="67"/>
      <c r="N39" s="67"/>
      <c r="O39" s="67"/>
      <c r="P39" s="67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71">
        <f t="shared" si="1"/>
        <v>0</v>
      </c>
      <c r="AL39" s="52"/>
      <c r="AM39" s="52"/>
      <c r="AN39" s="52"/>
      <c r="AO39" s="52"/>
      <c r="AP39" s="52"/>
      <c r="AQ39" s="52"/>
      <c r="AR39" s="52"/>
      <c r="AS39" s="52"/>
      <c r="AT39" s="52"/>
      <c r="AU39" s="52"/>
    </row>
    <row r="40" spans="1:47" s="53" customFormat="1" ht="18" customHeight="1">
      <c r="A40" s="62"/>
      <c r="B40" s="60"/>
      <c r="C40" s="60"/>
      <c r="D40" s="61"/>
      <c r="E40" s="63"/>
      <c r="F40" s="63"/>
      <c r="G40" s="64"/>
      <c r="H40" s="69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71">
        <f t="shared" si="1"/>
        <v>0</v>
      </c>
      <c r="AL40" s="52"/>
      <c r="AM40" s="52"/>
      <c r="AN40" s="52"/>
      <c r="AO40" s="52"/>
      <c r="AP40" s="52"/>
      <c r="AQ40" s="52"/>
      <c r="AR40" s="52"/>
      <c r="AS40" s="52"/>
      <c r="AT40" s="52"/>
      <c r="AU40" s="52"/>
    </row>
    <row r="41" spans="1:47" s="53" customFormat="1" ht="18" customHeight="1">
      <c r="A41" s="66"/>
      <c r="B41" s="60"/>
      <c r="C41" s="60"/>
      <c r="D41" s="61"/>
      <c r="E41" s="63"/>
      <c r="F41" s="63"/>
      <c r="G41" s="64"/>
      <c r="H41" s="69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71">
        <f t="shared" si="1"/>
        <v>0</v>
      </c>
      <c r="AL41" s="52"/>
      <c r="AM41" s="52"/>
      <c r="AN41" s="52"/>
      <c r="AO41" s="52"/>
      <c r="AP41" s="52"/>
      <c r="AQ41" s="52"/>
      <c r="AR41" s="52"/>
      <c r="AS41" s="52"/>
      <c r="AT41" s="52"/>
      <c r="AU41" s="52"/>
    </row>
    <row r="42" spans="1:47" s="53" customFormat="1" ht="18" customHeight="1">
      <c r="A42" s="66"/>
      <c r="B42" s="60"/>
      <c r="C42" s="66"/>
      <c r="D42" s="64"/>
      <c r="E42" s="63"/>
      <c r="F42" s="63"/>
      <c r="G42" s="64"/>
      <c r="H42" s="69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71">
        <f t="shared" si="1"/>
        <v>0</v>
      </c>
      <c r="AL42" s="52"/>
      <c r="AM42" s="52"/>
      <c r="AN42" s="52"/>
      <c r="AO42" s="52"/>
      <c r="AP42" s="52"/>
      <c r="AQ42" s="52"/>
      <c r="AR42" s="52"/>
      <c r="AS42" s="52"/>
      <c r="AT42" s="52"/>
      <c r="AU42" s="52"/>
    </row>
    <row r="43" spans="1:47" s="53" customFormat="1" ht="18" customHeight="1">
      <c r="A43" s="62"/>
      <c r="B43" s="60"/>
      <c r="C43" s="62"/>
      <c r="D43" s="64"/>
      <c r="E43" s="63"/>
      <c r="F43" s="63"/>
      <c r="G43" s="64"/>
      <c r="H43" s="70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71">
        <f t="shared" si="1"/>
        <v>0</v>
      </c>
      <c r="AL43" s="52"/>
      <c r="AM43" s="52"/>
      <c r="AN43" s="52"/>
      <c r="AO43" s="52"/>
      <c r="AP43" s="52"/>
      <c r="AQ43" s="52"/>
      <c r="AR43" s="52"/>
      <c r="AS43" s="52"/>
      <c r="AT43" s="52"/>
      <c r="AU43" s="52"/>
    </row>
    <row r="44" spans="1:47" s="53" customFormat="1" ht="18" customHeight="1">
      <c r="A44" s="62"/>
      <c r="B44" s="60"/>
      <c r="C44" s="62"/>
      <c r="D44" s="64"/>
      <c r="E44" s="63"/>
      <c r="F44" s="63"/>
      <c r="G44" s="64"/>
      <c r="H44" s="70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71">
        <f t="shared" si="1"/>
        <v>0</v>
      </c>
      <c r="AL44" s="52"/>
      <c r="AM44" s="52"/>
      <c r="AN44" s="52"/>
      <c r="AO44" s="52"/>
      <c r="AP44" s="52"/>
      <c r="AQ44" s="52"/>
      <c r="AR44" s="52"/>
      <c r="AS44" s="52"/>
      <c r="AT44" s="52"/>
      <c r="AU44" s="52"/>
    </row>
    <row r="45" spans="1:47" s="53" customFormat="1" ht="18" customHeight="1">
      <c r="A45" s="62"/>
      <c r="B45" s="60"/>
      <c r="C45" s="62"/>
      <c r="D45" s="64"/>
      <c r="E45" s="63"/>
      <c r="F45" s="63"/>
      <c r="G45" s="64"/>
      <c r="H45" s="70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71">
        <f t="shared" si="1"/>
        <v>0</v>
      </c>
      <c r="AL45" s="52"/>
      <c r="AM45" s="52"/>
      <c r="AN45" s="52"/>
      <c r="AO45" s="52"/>
      <c r="AP45" s="52"/>
      <c r="AQ45" s="52"/>
      <c r="AR45" s="52"/>
      <c r="AS45" s="52"/>
      <c r="AT45" s="52"/>
      <c r="AU45" s="52"/>
    </row>
    <row r="46" spans="1:47" s="53" customFormat="1" ht="18" customHeight="1">
      <c r="A46" s="62"/>
      <c r="B46" s="60"/>
      <c r="C46" s="62"/>
      <c r="D46" s="64"/>
      <c r="E46" s="63"/>
      <c r="F46" s="60"/>
      <c r="G46" s="64"/>
      <c r="H46" s="70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71">
        <f t="shared" si="1"/>
        <v>0</v>
      </c>
      <c r="AL46" s="52"/>
      <c r="AM46" s="52"/>
      <c r="AN46" s="52"/>
      <c r="AO46" s="52"/>
      <c r="AP46" s="52"/>
      <c r="AQ46" s="52"/>
      <c r="AR46" s="52"/>
      <c r="AS46" s="52"/>
      <c r="AT46" s="52"/>
      <c r="AU46" s="52"/>
    </row>
    <row r="47" spans="1:47" ht="18" customHeight="1">
      <c r="A47" s="62"/>
      <c r="B47" s="60"/>
      <c r="C47" s="62"/>
      <c r="D47" s="64"/>
      <c r="E47" s="63"/>
      <c r="F47" s="60"/>
      <c r="G47" s="64"/>
      <c r="H47" s="70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71">
        <f t="shared" si="1"/>
        <v>0</v>
      </c>
      <c r="AL47" s="49"/>
      <c r="AM47" s="49"/>
      <c r="AN47" s="49"/>
      <c r="AO47" s="49"/>
      <c r="AP47" s="49"/>
      <c r="AQ47" s="49"/>
      <c r="AR47" s="49"/>
      <c r="AS47" s="49"/>
      <c r="AT47" s="49"/>
      <c r="AU47" s="49"/>
    </row>
    <row r="48" spans="1:47" ht="18" customHeight="1">
      <c r="A48" s="62"/>
      <c r="B48" s="60"/>
      <c r="C48" s="62"/>
      <c r="D48" s="64"/>
      <c r="E48" s="63"/>
      <c r="F48" s="60"/>
      <c r="G48" s="64"/>
      <c r="H48" s="70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71">
        <f t="shared" si="1"/>
        <v>0</v>
      </c>
      <c r="AL48" s="49"/>
      <c r="AM48" s="49"/>
      <c r="AN48" s="49"/>
      <c r="AO48" s="49"/>
      <c r="AP48" s="49"/>
      <c r="AQ48" s="49"/>
      <c r="AR48" s="49"/>
      <c r="AS48" s="49"/>
      <c r="AT48" s="49"/>
      <c r="AU48" s="49"/>
    </row>
    <row r="49" spans="1:47" ht="18" customHeight="1">
      <c r="A49" s="66"/>
      <c r="B49" s="60"/>
      <c r="C49" s="62"/>
      <c r="D49" s="64"/>
      <c r="E49" s="63"/>
      <c r="F49" s="63"/>
      <c r="G49" s="64"/>
      <c r="H49" s="66"/>
      <c r="I49" s="67"/>
      <c r="J49" s="67"/>
      <c r="K49" s="67"/>
      <c r="L49" s="67"/>
      <c r="M49" s="67"/>
      <c r="N49" s="67"/>
      <c r="O49" s="67"/>
      <c r="P49" s="67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71">
        <f t="shared" si="1"/>
        <v>0</v>
      </c>
      <c r="AL49" s="49"/>
      <c r="AM49" s="49"/>
      <c r="AN49" s="49"/>
      <c r="AO49" s="49"/>
      <c r="AP49" s="49"/>
      <c r="AQ49" s="49"/>
      <c r="AR49" s="49"/>
      <c r="AS49" s="49"/>
      <c r="AT49" s="49"/>
      <c r="AU49" s="49"/>
    </row>
    <row r="50" spans="1:47" ht="18" customHeight="1">
      <c r="A50" s="66"/>
      <c r="B50" s="60"/>
      <c r="C50" s="62"/>
      <c r="D50" s="64"/>
      <c r="E50" s="63"/>
      <c r="F50" s="63"/>
      <c r="G50" s="64"/>
      <c r="H50" s="66"/>
      <c r="I50" s="67"/>
      <c r="J50" s="67"/>
      <c r="K50" s="67"/>
      <c r="L50" s="67"/>
      <c r="M50" s="67"/>
      <c r="N50" s="67"/>
      <c r="O50" s="67"/>
      <c r="P50" s="67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71">
        <f t="shared" si="1"/>
        <v>0</v>
      </c>
      <c r="AL50" s="49"/>
      <c r="AM50" s="49"/>
      <c r="AN50" s="49"/>
      <c r="AO50" s="49"/>
      <c r="AP50" s="49"/>
      <c r="AQ50" s="49"/>
      <c r="AR50" s="49"/>
      <c r="AS50" s="49"/>
      <c r="AT50" s="49"/>
      <c r="AU50" s="49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2026-06-08T07:11:33Z</dcterms:modified>
</cp:coreProperties>
</file>